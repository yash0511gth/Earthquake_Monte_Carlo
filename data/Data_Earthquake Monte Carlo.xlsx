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cy_data" sheetId="1" r:id="rId5"/>
    <sheet state="visible" name="loss_assumptions" sheetId="2" r:id="rId6"/>
    <sheet state="visible" name="model_parameters" sheetId="3" r:id="rId7"/>
  </sheets>
  <definedNames/>
  <calcPr/>
</workbook>
</file>

<file path=xl/sharedStrings.xml><?xml version="1.0" encoding="utf-8"?>
<sst xmlns="http://schemas.openxmlformats.org/spreadsheetml/2006/main" count="25" uniqueCount="17">
  <si>
    <t>Magnitude Group</t>
  </si>
  <si>
    <t>Magnitude</t>
  </si>
  <si>
    <t>Loss Min ($ in billions)</t>
  </si>
  <si>
    <t>Loss Max ( $ in billion)</t>
  </si>
  <si>
    <t>5 - 5.9</t>
  </si>
  <si>
    <t>Average Annual Frequency (λ)</t>
  </si>
  <si>
    <t>Loss Max ($ in billions)</t>
  </si>
  <si>
    <t>5–5.9</t>
  </si>
  <si>
    <t>6 - 6.9</t>
  </si>
  <si>
    <t>Average Annual Frequency</t>
  </si>
  <si>
    <t>7 - 7.9</t>
  </si>
  <si>
    <t>8+</t>
  </si>
  <si>
    <t>-</t>
  </si>
  <si>
    <t>6–6.9</t>
  </si>
  <si>
    <t>Source: Federal Reserve Bank of Kansas City, Economic Damage from Large Earthquakes.</t>
  </si>
  <si>
    <t>7–7.9</t>
  </si>
  <si>
    <t>Source: U.S. Geological Survey (USGS), United States Earthquakes 2000–2012.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</si>
</sst>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4" numFmtId="0" xfId="0" applyFont="1"/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3.38"/>
  </cols>
  <sheetData>
    <row r="1">
      <c r="A1" s="2" t="s">
        <v>1</v>
      </c>
      <c r="B1" s="2">
        <v>2000.0</v>
      </c>
      <c r="C1" s="2">
        <v>2001.0</v>
      </c>
      <c r="D1" s="2">
        <v>2002.0</v>
      </c>
      <c r="E1" s="2">
        <v>2003.0</v>
      </c>
      <c r="F1" s="2">
        <v>2004.0</v>
      </c>
      <c r="G1" s="2">
        <v>2005.0</v>
      </c>
      <c r="H1" s="2">
        <v>2006.0</v>
      </c>
      <c r="I1" s="2">
        <v>2007.0</v>
      </c>
      <c r="J1" s="2">
        <v>2008.0</v>
      </c>
      <c r="K1" s="2">
        <v>2009.0</v>
      </c>
      <c r="L1" s="2">
        <v>2010.0</v>
      </c>
      <c r="M1" s="2">
        <v>2011.0</v>
      </c>
      <c r="N1" s="2">
        <v>2012.0</v>
      </c>
      <c r="O1" s="6" t="s">
        <v>9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</v>
      </c>
      <c r="B2" s="9">
        <v>0.0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11">
        <f t="shared" ref="O2:O5" si="1">AVERAGE(B2:N2)</f>
        <v>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10</v>
      </c>
      <c r="B3" s="9">
        <v>0.0</v>
      </c>
      <c r="C3" s="9">
        <v>1.0</v>
      </c>
      <c r="D3" s="9">
        <v>1.0</v>
      </c>
      <c r="E3" s="9">
        <v>2.0</v>
      </c>
      <c r="F3" s="9">
        <v>0.0</v>
      </c>
      <c r="G3" s="9">
        <v>1.0</v>
      </c>
      <c r="H3" s="9">
        <v>0.0</v>
      </c>
      <c r="I3" s="9">
        <v>1.0</v>
      </c>
      <c r="J3" s="9">
        <v>0.0</v>
      </c>
      <c r="K3" s="9">
        <v>0.0</v>
      </c>
      <c r="L3" s="9">
        <v>1.0</v>
      </c>
      <c r="M3" s="9">
        <v>1.0</v>
      </c>
      <c r="N3" s="9">
        <v>0.0</v>
      </c>
      <c r="O3" s="11">
        <f t="shared" si="1"/>
        <v>0.6153846154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8</v>
      </c>
      <c r="B4" s="9">
        <v>6.0</v>
      </c>
      <c r="C4" s="9">
        <v>5.0</v>
      </c>
      <c r="D4" s="9">
        <v>4.0</v>
      </c>
      <c r="E4" s="9">
        <v>7.0</v>
      </c>
      <c r="F4" s="9">
        <v>2.0</v>
      </c>
      <c r="G4" s="9">
        <v>4.0</v>
      </c>
      <c r="H4" s="9">
        <v>7.0</v>
      </c>
      <c r="I4" s="9">
        <v>9.0</v>
      </c>
      <c r="J4" s="9">
        <v>9.0</v>
      </c>
      <c r="K4" s="9">
        <v>4.0</v>
      </c>
      <c r="L4" s="9">
        <v>8.0</v>
      </c>
      <c r="M4" s="9">
        <v>3.0</v>
      </c>
      <c r="N4" s="9">
        <v>5.0</v>
      </c>
      <c r="O4" s="11">
        <f t="shared" si="1"/>
        <v>5.615384615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4</v>
      </c>
      <c r="B5" s="9">
        <v>63.0</v>
      </c>
      <c r="C5" s="9">
        <v>41.0</v>
      </c>
      <c r="D5" s="9">
        <v>63.0</v>
      </c>
      <c r="E5" s="9">
        <v>54.0</v>
      </c>
      <c r="F5" s="9">
        <v>25.0</v>
      </c>
      <c r="G5" s="9">
        <v>47.0</v>
      </c>
      <c r="H5" s="9">
        <v>51.0</v>
      </c>
      <c r="I5" s="9">
        <v>72.0</v>
      </c>
      <c r="J5" s="9">
        <v>85.0</v>
      </c>
      <c r="K5" s="9">
        <v>58.0</v>
      </c>
      <c r="L5" s="9">
        <v>89.0</v>
      </c>
      <c r="M5" s="9">
        <v>51.0</v>
      </c>
      <c r="N5" s="9">
        <v>27.0</v>
      </c>
      <c r="O5" s="11">
        <f t="shared" si="1"/>
        <v>55.84615385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2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 t="s">
        <v>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2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2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2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2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2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2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2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2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2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2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2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2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1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1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1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1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1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1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1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1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1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1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1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1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1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1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1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1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1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1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1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1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1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1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1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1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1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1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1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1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1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1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1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1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1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1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1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1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1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1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1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1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1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1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1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1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1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1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1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1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1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1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1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1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1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1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1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1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1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1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1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1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1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1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1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1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1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1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1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1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1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1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1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1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1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1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1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1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1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1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1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1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1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1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1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1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1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1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1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1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1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1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1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1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1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1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1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1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1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1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1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1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1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1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1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1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1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1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1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1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1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1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1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1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1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1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1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1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1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1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1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1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1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1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1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1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1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1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1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1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1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1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1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1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1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1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1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1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1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1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1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1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1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1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1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1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1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1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1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1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1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1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1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1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1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1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1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1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1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1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1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1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1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1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1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1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1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1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1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1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1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1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1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1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1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1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1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1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1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1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1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1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1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1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1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1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1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1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1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1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1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1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1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1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1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1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1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1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1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1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1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1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1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1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1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1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1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1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1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1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1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1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1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1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1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1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1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1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1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1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1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1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1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1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1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1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1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1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1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1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1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1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1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1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1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1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1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1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1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1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1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1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1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1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1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1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1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1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1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1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1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1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1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1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1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1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1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1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1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1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1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1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1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1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1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1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1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1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1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1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1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1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1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1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1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1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1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1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1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1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1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1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1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1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1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1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1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1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1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1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1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1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1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1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1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1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1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1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1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1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1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1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1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1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1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1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1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1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1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1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1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1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1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1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1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1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1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1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1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1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1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1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1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1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1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1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1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1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1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1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1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1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1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1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1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1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1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1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1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1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1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1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1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1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1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1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1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1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1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1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1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1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1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1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1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1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1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1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1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1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1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1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1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1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1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1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1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1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1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1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1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1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1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1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1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1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1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1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1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1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1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1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1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1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1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1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1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1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1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1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1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1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1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1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1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1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1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1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1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1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1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1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1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1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1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1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1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1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1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1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1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1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1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1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1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1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1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1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1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1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1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1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1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1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1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1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1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1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1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1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1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1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1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1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1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1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1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1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1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1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1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1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1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1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1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1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1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1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1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1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1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1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1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1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1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1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1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1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1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1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1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1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1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1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1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1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1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1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1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1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1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1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1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1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1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1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1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1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1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1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1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1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1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1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1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1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1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1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1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1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1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1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1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1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1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1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1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1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1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1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1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1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1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1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1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1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1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1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1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1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1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1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1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1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1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1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1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1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1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1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1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1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1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1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1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1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1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1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1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1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1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1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1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1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1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1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1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1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1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1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1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1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1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1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1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1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1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1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1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1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1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1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1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1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1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1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1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1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1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1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1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1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1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1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1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1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1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1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1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1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1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1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1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1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1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1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1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1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1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1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1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1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1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1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1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1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1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1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1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1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1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1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1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1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1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1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1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1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1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1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1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1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1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1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1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1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1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1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1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1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1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1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1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1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1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1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1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1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1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1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1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1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1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1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1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1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1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1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13"/>
    <col customWidth="1" min="3" max="3" width="19.88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0.1</v>
      </c>
      <c r="C2" s="5">
        <v>2.0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>
        <v>1.0</v>
      </c>
      <c r="C3" s="5">
        <v>15.0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5">
        <v>15.0</v>
      </c>
      <c r="C4" s="5">
        <v>100.0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5" t="s">
        <v>12</v>
      </c>
      <c r="C5" s="5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7.25"/>
    <col customWidth="1" min="3" max="3" width="21.13"/>
    <col customWidth="1" min="4" max="4" width="21.75"/>
  </cols>
  <sheetData>
    <row r="1">
      <c r="A1" s="1" t="s">
        <v>0</v>
      </c>
      <c r="B1" s="1" t="s">
        <v>5</v>
      </c>
      <c r="C1" s="1" t="s">
        <v>2</v>
      </c>
      <c r="D1" s="1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>
        <f>frequency_data!O5</f>
        <v>55.84615385</v>
      </c>
      <c r="C2" s="5">
        <f>loss_assumptions!B2</f>
        <v>0.1</v>
      </c>
      <c r="D2" s="5">
        <f>loss_assumptions!C2</f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13</v>
      </c>
      <c r="B3" s="5">
        <f>frequency_data!O4</f>
        <v>5.615384615</v>
      </c>
      <c r="C3" s="5">
        <f>loss_assumptions!B3</f>
        <v>1</v>
      </c>
      <c r="D3" s="5">
        <f>loss_assumptions!C3</f>
        <v>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15</v>
      </c>
      <c r="B4" s="5">
        <f>frequency_data!O3</f>
        <v>0.6153846154</v>
      </c>
      <c r="C4" s="5">
        <f>loss_assumptions!B4</f>
        <v>15</v>
      </c>
      <c r="D4" s="5">
        <f>loss_assumptions!C4</f>
        <v>100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11</v>
      </c>
      <c r="B5" s="5">
        <f>frequency_data!O2</f>
        <v>0</v>
      </c>
      <c r="C5" s="5" t="str">
        <f>loss_assumptions!B5</f>
        <v>-</v>
      </c>
      <c r="D5" s="5" t="str">
        <f>loss_assumptions!C5</f>
        <v>-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